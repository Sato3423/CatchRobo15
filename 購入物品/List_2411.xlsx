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D:\ドキュメント\機械講習\卒研等\購入物品\"/>
    </mc:Choice>
  </mc:AlternateContent>
  <xr:revisionPtr revIDLastSave="0" documentId="13_ncr:1_{12431C97-AA00-4C20-B6D4-58DED4E50285}" xr6:coauthVersionLast="47" xr6:coauthVersionMax="47" xr10:uidLastSave="{00000000-0000-0000-0000-000000000000}"/>
  <bookViews>
    <workbookView xWindow="-108" yWindow="-108" windowWidth="23256" windowHeight="12456" xr2:uid="{11892E61-BAB7-4447-B287-FAAF14CE4E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8" i="1" l="1"/>
  <c r="D20" i="1"/>
  <c r="D43" i="1"/>
  <c r="D22" i="1"/>
  <c r="D31" i="1"/>
  <c r="D25" i="1"/>
  <c r="D26" i="1"/>
  <c r="D14" i="1"/>
  <c r="D13" i="1"/>
  <c r="D23" i="1"/>
  <c r="D16" i="1"/>
  <c r="D17" i="1"/>
  <c r="D18" i="1"/>
  <c r="D10" i="1"/>
  <c r="D11" i="1"/>
  <c r="D12" i="1"/>
  <c r="D15" i="1"/>
  <c r="D21" i="1"/>
  <c r="D24" i="1"/>
  <c r="D27" i="1"/>
  <c r="D28" i="1"/>
  <c r="D29" i="1"/>
  <c r="D30" i="1"/>
  <c r="D32" i="1"/>
  <c r="D33" i="1"/>
  <c r="D34" i="1"/>
  <c r="D35" i="1"/>
  <c r="D36" i="1"/>
  <c r="D37" i="1"/>
  <c r="D8" i="1"/>
  <c r="D7" i="1"/>
  <c r="D6" i="1"/>
  <c r="D4" i="1"/>
  <c r="D3" i="1"/>
  <c r="D5" i="1"/>
  <c r="D9" i="1"/>
  <c r="D19" i="1"/>
  <c r="D40" i="1"/>
  <c r="D41" i="1"/>
  <c r="D42" i="1"/>
  <c r="D44" i="1"/>
  <c r="D45" i="1"/>
  <c r="D2" i="1"/>
  <c r="G1" i="1" l="1"/>
</calcChain>
</file>

<file path=xl/sharedStrings.xml><?xml version="1.0" encoding="utf-8"?>
<sst xmlns="http://schemas.openxmlformats.org/spreadsheetml/2006/main" count="86" uniqueCount="86">
  <si>
    <t>商品名等</t>
    <rPh sb="0" eb="3">
      <t>ショウヒンメイ</t>
    </rPh>
    <rPh sb="3" eb="4">
      <t>トウ</t>
    </rPh>
    <phoneticPr fontId="1"/>
  </si>
  <si>
    <t>個数</t>
    <rPh sb="0" eb="2">
      <t>コスウ</t>
    </rPh>
    <phoneticPr fontId="1"/>
  </si>
  <si>
    <t>合計金額</t>
    <rPh sb="0" eb="2">
      <t>ゴウケイ</t>
    </rPh>
    <rPh sb="2" eb="4">
      <t>キンガク</t>
    </rPh>
    <phoneticPr fontId="1"/>
  </si>
  <si>
    <t>単価*個数</t>
    <rPh sb="0" eb="2">
      <t>タンカ</t>
    </rPh>
    <rPh sb="3" eb="5">
      <t>コスウ</t>
    </rPh>
    <phoneticPr fontId="1"/>
  </si>
  <si>
    <t>オートポンチ</t>
    <phoneticPr fontId="1"/>
  </si>
  <si>
    <t>リミットスイッチ</t>
    <phoneticPr fontId="1"/>
  </si>
  <si>
    <t>12*25</t>
    <phoneticPr fontId="1"/>
  </si>
  <si>
    <t>10*15</t>
    <phoneticPr fontId="1"/>
  </si>
  <si>
    <t>リンク等</t>
    <rPh sb="3" eb="4">
      <t>トウ</t>
    </rPh>
    <phoneticPr fontId="1"/>
  </si>
  <si>
    <t>https://www.monotaro.com/g/00008093/?t.q=%E3%82%AA%E3%83%BC%E3%83%88%E3%83%9D%E3%83%B3%E3%83%81</t>
    <phoneticPr fontId="1"/>
  </si>
  <si>
    <t>単価(税込)</t>
    <rPh sb="0" eb="2">
      <t>タンカ</t>
    </rPh>
    <rPh sb="3" eb="5">
      <t>ゼイコ</t>
    </rPh>
    <phoneticPr fontId="1"/>
  </si>
  <si>
    <t>https://www.monotaro.com/p/0722/6107/?t.q=%82%B3%82%B5%82%AA%82%CB</t>
  </si>
  <si>
    <t>ドリル(五本，HSS)</t>
    <rPh sb="4" eb="6">
      <t>ゴホン</t>
    </rPh>
    <phoneticPr fontId="1"/>
  </si>
  <si>
    <t>ドリル(Φ3.2)</t>
    <phoneticPr fontId="1"/>
  </si>
  <si>
    <t>https://www.monotaro.com/p/6871/2105/?t.q=%98Z%8Ap%8E%B2%83h%83%8A%83%8B</t>
  </si>
  <si>
    <t>https://www.monotaro.com/p/7338/6504/?t.q=%98Z%8Ap%8E%B2%83h%83%8A%83%8B</t>
  </si>
  <si>
    <t>エンドミル(Φ1.5)</t>
    <phoneticPr fontId="1"/>
  </si>
  <si>
    <t>エンドミル(Φ2)</t>
    <phoneticPr fontId="1"/>
  </si>
  <si>
    <t>エンドミル(Φ3)</t>
    <phoneticPr fontId="1"/>
  </si>
  <si>
    <t>https://www.monotaro.com/p/3468/8045/?t.q=%83G%83%93%83h%83~%83%8B</t>
  </si>
  <si>
    <t>https://www.monotaro.com/p/3468/8054/?t.q=%83G%83%93%83h%83~%83%8B</t>
  </si>
  <si>
    <t>https://www.monotaro.com/p/3468/8088/?t.q=%83G%83%93%83h%83~%83%8B</t>
  </si>
  <si>
    <t>https://www.monotaro.com/p/4642/5366/?t.q=%83z%81%5B%83%8B%83%5C%81%5B%81%40%83%B319</t>
  </si>
  <si>
    <t>ホールソー(Φ19)</t>
    <phoneticPr fontId="1"/>
  </si>
  <si>
    <t>三寸法師さしがね</t>
    <rPh sb="0" eb="2">
      <t>サンスン</t>
    </rPh>
    <rPh sb="2" eb="4">
      <t>ホウシ</t>
    </rPh>
    <phoneticPr fontId="1"/>
  </si>
  <si>
    <t>8-12ベア(フ有)</t>
    <rPh sb="8" eb="9">
      <t>アリ</t>
    </rPh>
    <phoneticPr fontId="1"/>
  </si>
  <si>
    <t>T5アルミ板</t>
    <rPh sb="5" eb="6">
      <t>イタ</t>
    </rPh>
    <phoneticPr fontId="1"/>
  </si>
  <si>
    <t>PLAフィラメント</t>
    <phoneticPr fontId="1"/>
  </si>
  <si>
    <t>PETGフィラメント</t>
    <phoneticPr fontId="1"/>
  </si>
  <si>
    <t>アルミ軸　8mm</t>
    <rPh sb="3" eb="4">
      <t>ジク</t>
    </rPh>
    <phoneticPr fontId="1"/>
  </si>
  <si>
    <t>タップハンドル</t>
    <phoneticPr fontId="1"/>
  </si>
  <si>
    <t>切削油</t>
    <rPh sb="0" eb="3">
      <t>セッサクユ</t>
    </rPh>
    <phoneticPr fontId="1"/>
  </si>
  <si>
    <t>https://www.monotaro.com/p/3552/2067/?t.q=%83%5E%83b%83v%83n%83%93%83h%83%8B</t>
  </si>
  <si>
    <t>タップM3</t>
    <phoneticPr fontId="1"/>
  </si>
  <si>
    <t>タップM4</t>
    <phoneticPr fontId="1"/>
  </si>
  <si>
    <t>https://www.monotaro.com/p/5465/8583/?t.q=%83%5E%83b%83v</t>
    <phoneticPr fontId="1"/>
  </si>
  <si>
    <t>https://www.monotaro.com/p/5465/8599/?t.q=%83%5E%83b%83v</t>
  </si>
  <si>
    <t>https://www.monotaro.com/p/0333/3802/?t.q=%82%BD%82%C1%82%D2%82%F1%82%AE%81%40%90%D8%8D%ED%96%FB</t>
  </si>
  <si>
    <t>パーツクリーナ―</t>
    <phoneticPr fontId="1"/>
  </si>
  <si>
    <t>養生テープ</t>
    <rPh sb="0" eb="2">
      <t>ヨウジョウ</t>
    </rPh>
    <phoneticPr fontId="1"/>
  </si>
  <si>
    <t>https://www.monotaro.com/p/3655/7631/?t.q=%83p%81%5B%83c%83N%83%8A%81%5B%83i%81%5C</t>
  </si>
  <si>
    <t>https://www.monotaro.com/p/0582/8742/?t.q=%97%7B%90%B6%83e%81%5B%83v</t>
  </si>
  <si>
    <t>https://www.monotaro.com/p/0916/3655/?t.q=%83E%83G%83X</t>
  </si>
  <si>
    <t>ウエス(1㎏)</t>
    <phoneticPr fontId="1"/>
  </si>
  <si>
    <t>https://www.monotaro.com/p/0727/3174/?t.q=%8E%F7%8E%89%83x%83A%83%8A%83%93%83O</t>
  </si>
  <si>
    <t>樹脂ベア(6-18-6)</t>
    <rPh sb="0" eb="2">
      <t>ジュシ</t>
    </rPh>
    <phoneticPr fontId="1"/>
  </si>
  <si>
    <t>6-19ベア(フ無)</t>
    <rPh sb="8" eb="9">
      <t>ナシ</t>
    </rPh>
    <phoneticPr fontId="1"/>
  </si>
  <si>
    <t>https://www.amazon.co.jp/ELEGOO-%E3%83%95%E3%82%A3%E3%83%A9%E3%83%A1%E3%83%B3%E3%83%88-1-75mm-3D%E3%83%97%E3%83%AA%E3%83%B3%E3%82%BF%E3%83%BC%E7%94%A8%E3%83%95%E3%82%A3%E3%83%A9%E3%83%A1%E3%83%B3%E3%83%88-%E3%81%BB%E3%81%A8%E3%82%93%E3%81%A9%E3%81%AEFDM%E3%83%97%E3%83%AA%E3%83%B3%E3%82%BF%E3%83%BC%E3%81%A8%E4%BA%92%E6%8F%9B%E6%80%A7%E3%81%8C%E3%81%82%E3%82%8B/dp/B0BM4KWKPF/ref=sr_1_1_sspa?__mk_ja_JP=%E3%82%AB%E3%82%BF%E3%82%AB%E3%83%8A&amp;sr=8-1-spons&amp;sp_csd=d2lkZ2V0TmFtZT1zcF9hdGY&amp;psc=1</t>
  </si>
  <si>
    <t>https://www.amazon.co.jp/eSUN-3D%E3%83%97%E3%83%AA%E3%83%B3%E3%82%BF%E3%83%BC%E3%83%95%E3%82%A3%E3%83%A9%E3%83%A1%E3%83%B3%E3%83%88%E3%80%81PETG-%E3%83%95%E3%82%A3%E3%83%A9%E3%83%A1%E3%83%B3%E3%83%881-75-0-05mm%E3%80%813D%E3%83%97%E3%83%AA%E3%83%B3%E3%82%BF%E3%83%BC%E7%94%A81KG%E3%82%B9%E3%83%97%E3%83%BC%E3%83%AB%E9%80%A0%E5%BD%A2%E6%9D%90%E6%96%99PETG%E6%A8%B9%E8%84%82%E6%9D%90%E6%96%99-%E3%83%8A%E3%83%81%E3%83%A5%E3%83%A9%E3%83%AB%E3%82%AB%E3%83%A9%E3%83%BC/dp/B07SJB88DX/ref=sr_1_2_sspa?__mk_ja_JP=%E3%82%AB%E3%82%BF%E3%82%AB%E3%83%8A&amp;sr=8-2-spons&amp;sp_csd=d2lkZ2V0TmFtZT1zcF9hdGY&amp;psc=1</t>
  </si>
  <si>
    <t>スライダ</t>
    <phoneticPr fontId="1"/>
  </si>
  <si>
    <t>https://www.monotaro.com/p/7519/0421/?t.q=%83%7B%83b%83N%83X%83h%83%89%83C%83o</t>
  </si>
  <si>
    <t>5.5ボックスドライバ</t>
    <phoneticPr fontId="1"/>
  </si>
  <si>
    <t>7ボックスドライバ</t>
    <phoneticPr fontId="1"/>
  </si>
  <si>
    <t>https://www.monotaro.com/p/7519/0446/?t.q=%83%7B%83b%83N%83X%83h%83%89%83C%83o</t>
  </si>
  <si>
    <t>キャリッジ</t>
    <phoneticPr fontId="1"/>
  </si>
  <si>
    <t>キャリッジ ショート</t>
    <phoneticPr fontId="1"/>
  </si>
  <si>
    <t>https://www.monotaro.com/p/5548/5694/</t>
  </si>
  <si>
    <t>https://jp.misumi-ec.com/vona2/detail/110302590460/?KWSearch=%E3%83%99%E3%82%A2%E3%83%AA%E3%83%B3%E3%82%B0+&amp;searchFlow=results2products</t>
    <phoneticPr fontId="1"/>
  </si>
  <si>
    <t>アルミ軸　6mm</t>
    <rPh sb="3" eb="4">
      <t>ジク</t>
    </rPh>
    <phoneticPr fontId="1"/>
  </si>
  <si>
    <t>https://www.monotaro.com/p/0965/2763/?t.attr_f9858=5&amp;t.q=%83A%83%8B%83~%94%C2</t>
  </si>
  <si>
    <t>https://www.monotaro.com/p/4035/6513/</t>
  </si>
  <si>
    <t>https://www.monotaro.com/p/4035/6531/</t>
  </si>
  <si>
    <t>https://www.monotaro.com/p/3303/2221/</t>
    <phoneticPr fontId="1"/>
  </si>
  <si>
    <t>リニアブッシュ8</t>
    <phoneticPr fontId="1"/>
  </si>
  <si>
    <t>リニアブッシュ6</t>
    <phoneticPr fontId="1"/>
  </si>
  <si>
    <t>https://www.monotaro.com/p/3303/2237/</t>
    <phoneticPr fontId="1"/>
  </si>
  <si>
    <t>角パイプ10*10</t>
    <rPh sb="0" eb="1">
      <t>カク</t>
    </rPh>
    <phoneticPr fontId="1"/>
  </si>
  <si>
    <t>https://www.monotaro.com/p/5733/1785/?t.q=%83A%83%8B%83~%8Ap%83p%83C%83v</t>
  </si>
  <si>
    <t>https://www.monotaro.com/p/4781/2724/</t>
    <phoneticPr fontId="1"/>
  </si>
  <si>
    <t>https://akizukidenshi.com/catalog/g/g114831/</t>
  </si>
  <si>
    <t>40mm(100/set)</t>
    <phoneticPr fontId="1"/>
  </si>
  <si>
    <t>https://jp.misumi-ec.com/vona2/detail/221006191079/?KWSearch=M3+%E5%B0%8F%E3%81%AD%E3%81%98+%E5%85%AD%E8%A7%92&amp;searchFlow=results2products</t>
  </si>
  <si>
    <t>30mm(100/set)</t>
    <phoneticPr fontId="1"/>
  </si>
  <si>
    <t>M3 15mm(100/set)</t>
    <phoneticPr fontId="1"/>
  </si>
  <si>
    <t>60mm(500/set)</t>
    <phoneticPr fontId="1"/>
  </si>
  <si>
    <t>https://jp.misumi-ec.com/vona2/detail/221000546190/?KWSearch=M3+%E5%B0%8F%E3%81%AD%E3%81%98+%E5%85%AD%E8%A7%92&amp;searchFlow=results2products</t>
  </si>
  <si>
    <t>https://www.monotaro.com/p/3774/0351/</t>
    <phoneticPr fontId="1"/>
  </si>
  <si>
    <t>セットカラー6</t>
    <phoneticPr fontId="1"/>
  </si>
  <si>
    <t>セットカラー8</t>
    <phoneticPr fontId="1"/>
  </si>
  <si>
    <t>SCS0608CN2 スリットカラー 2ネジ穴付タイプ 岩田製作所 鉄/黒染め SCS0608CN2 - 【通販モノタロウ】</t>
  </si>
  <si>
    <t>スナップリング8</t>
    <phoneticPr fontId="1"/>
  </si>
  <si>
    <t>https://www.monotaro.com/p/0368/3522/</t>
  </si>
  <si>
    <t>https://www.monotaro.com/p/4781/2600/?t.q=%83A%83%8B%83~%8Ap%83p%83C%83v%81%4020%81%4025</t>
    <phoneticPr fontId="1"/>
  </si>
  <si>
    <t>https://www.monotaro.com/p/4826/6087/</t>
    <phoneticPr fontId="1"/>
  </si>
  <si>
    <t>https://www.monotaro.com/p/2901/8695/?t.q=%83L%83%83%83%8A%83b%83W</t>
    <phoneticPr fontId="1"/>
  </si>
  <si>
    <t>https://jp.misumi-ec.com/vona2/detail/110302590820/?KWSearch=%E3%83%99%E3%82%A2%E3%83%AA%E3%83%B3%E3%82%B0+&amp;searchFlow=results2products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</si>
</sst>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u/>
      <sz val="11"/>
      <color theme="10"/>
      <name val="游ゴシック"/>
      <family val="2"/>
      <charset val="128"/>
      <scheme val="minor"/>
    </font>
    <font>
      <sz val="11"/>
      <color rgb="FF333333"/>
      <name val="游ゴシック"/>
      <family val="3"/>
      <charset val="128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2"/>
        <bgColor indexed="64"/>
      </patternFill>
    </fill>
  </fills>
  <borders count="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</cellStyleXfs>
  <cellXfs count="7">
    <xf numFmtId="0" fontId="0" fillId="0" borderId="0" xfId="0">
      <alignment vertical="center"/>
    </xf>
    <xf numFmtId="0" fontId="0" fillId="0" borderId="1" xfId="0" applyBorder="1">
      <alignment vertical="center"/>
    </xf>
    <xf numFmtId="0" fontId="2" fillId="0" borderId="0" xfId="1">
      <alignment vertical="center"/>
    </xf>
    <xf numFmtId="1" fontId="0" fillId="0" borderId="2" xfId="0" applyNumberFormat="1" applyBorder="1">
      <alignment vertical="center"/>
    </xf>
    <xf numFmtId="3" fontId="3" fillId="0" borderId="0" xfId="0" applyNumberFormat="1" applyFont="1">
      <alignment vertical="center"/>
    </xf>
    <xf numFmtId="0" fontId="0" fillId="2" borderId="0" xfId="0" applyFill="1">
      <alignment vertical="center"/>
    </xf>
    <xf numFmtId="0" fontId="0" fillId="3" borderId="0" xfId="0" applyFill="1">
      <alignment vertical="center"/>
    </xf>
  </cellXfs>
  <cellStyles count="2">
    <cellStyle name="ハイパーリンク" xfId="1" builtinId="8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monotaro.com/p/3774/0333/" TargetMode="External"/><Relationship Id="rId13" Type="http://schemas.openxmlformats.org/officeDocument/2006/relationships/printerSettings" Target="../printerSettings/printerSettings1.bin"/><Relationship Id="rId3" Type="http://schemas.openxmlformats.org/officeDocument/2006/relationships/hyperlink" Target="https://jp.misumi-ec.com/vona2/detail/110302590460/?KWSearch=%E3%83%99%E3%82%A2%E3%83%AA%E3%83%B3%E3%82%B0+&amp;searchFlow=results2products" TargetMode="External"/><Relationship Id="rId7" Type="http://schemas.openxmlformats.org/officeDocument/2006/relationships/hyperlink" Target="https://www.monotaro.com/p/3774/0351/" TargetMode="External"/><Relationship Id="rId12" Type="http://schemas.openxmlformats.org/officeDocument/2006/relationships/hyperlink" Target="https://jp.misumi-ec.com/vona2/detail/110302590820/?KWSearch=%E3%83%99%E3%82%A2%E3%83%AA%E3%83%B3%E3%82%B0+&amp;searchFlow=results2products" TargetMode="External"/><Relationship Id="rId2" Type="http://schemas.openxmlformats.org/officeDocument/2006/relationships/hyperlink" Target="https://www.monotaro.com/p/5465/8583/?t.q=%83%5E%83b%83v" TargetMode="External"/><Relationship Id="rId1" Type="http://schemas.openxmlformats.org/officeDocument/2006/relationships/hyperlink" Target="https://www.monotaro.com/g/00008093/?t.q=%E3%82%AA%E3%83%BC%E3%83%88%E3%83%9D%E3%83%B3%E3%83%81" TargetMode="External"/><Relationship Id="rId6" Type="http://schemas.openxmlformats.org/officeDocument/2006/relationships/hyperlink" Target="https://www.monotaro.com/p/4781/2724/" TargetMode="External"/><Relationship Id="rId11" Type="http://schemas.openxmlformats.org/officeDocument/2006/relationships/hyperlink" Target="https://www.monotaro.com/p/2901/8695/?t.q=%83L%83%83%83%8A%83b%83W" TargetMode="External"/><Relationship Id="rId5" Type="http://schemas.openxmlformats.org/officeDocument/2006/relationships/hyperlink" Target="https://www.monotaro.com/p/3303/2237/" TargetMode="External"/><Relationship Id="rId10" Type="http://schemas.openxmlformats.org/officeDocument/2006/relationships/hyperlink" Target="https://www.monotaro.com/p/4826/6087/" TargetMode="External"/><Relationship Id="rId4" Type="http://schemas.openxmlformats.org/officeDocument/2006/relationships/hyperlink" Target="https://www.monotaro.com/p/3303/2221/" TargetMode="External"/><Relationship Id="rId9" Type="http://schemas.openxmlformats.org/officeDocument/2006/relationships/hyperlink" Target="https://www.monotaro.com/p/4781/2600/?t.q=%83A%83%8B%83~%8Ap%83p%83C%83v%81%4020%81%4025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331177-A493-4134-8091-2DDC561B3FE6}">
  <dimension ref="A1:G45"/>
  <sheetViews>
    <sheetView tabSelected="1" zoomScale="85" zoomScaleNormal="85" workbookViewId="0">
      <pane ySplit="1" topLeftCell="A26" activePane="bottomLeft" state="frozen"/>
      <selection pane="bottomLeft" activeCell="A43" sqref="A43"/>
    </sheetView>
  </sheetViews>
  <sheetFormatPr defaultRowHeight="18" x14ac:dyDescent="0.45"/>
  <cols>
    <col min="1" max="1" width="15.19921875" customWidth="1"/>
    <col min="2" max="2" width="6.59765625" customWidth="1"/>
    <col min="3" max="3" width="9.796875" customWidth="1"/>
    <col min="4" max="4" width="9.09765625" customWidth="1"/>
    <col min="5" max="5" width="20.5" customWidth="1"/>
  </cols>
  <sheetData>
    <row r="1" spans="1:7" ht="18.600000000000001" thickBot="1" x14ac:dyDescent="0.5">
      <c r="A1" t="s">
        <v>0</v>
      </c>
      <c r="B1" t="s">
        <v>1</v>
      </c>
      <c r="C1" t="s">
        <v>10</v>
      </c>
      <c r="D1" t="s">
        <v>3</v>
      </c>
      <c r="E1" t="s">
        <v>8</v>
      </c>
      <c r="F1" s="1" t="s">
        <v>2</v>
      </c>
      <c r="G1" s="3">
        <f>SUM(D:D)</f>
        <v>110939.3</v>
      </c>
    </row>
    <row r="2" spans="1:7" x14ac:dyDescent="0.45">
      <c r="A2" t="s">
        <v>4</v>
      </c>
      <c r="B2">
        <v>1</v>
      </c>
      <c r="C2">
        <v>3100</v>
      </c>
      <c r="D2">
        <f t="shared" ref="D2:D38" si="0">B2*C2</f>
        <v>3100</v>
      </c>
      <c r="E2" s="2" t="s">
        <v>9</v>
      </c>
    </row>
    <row r="3" spans="1:7" x14ac:dyDescent="0.45">
      <c r="A3" t="s">
        <v>24</v>
      </c>
      <c r="B3">
        <v>1</v>
      </c>
      <c r="C3">
        <v>659</v>
      </c>
      <c r="D3">
        <f t="shared" si="0"/>
        <v>659</v>
      </c>
      <c r="E3" t="s">
        <v>11</v>
      </c>
    </row>
    <row r="4" spans="1:7" x14ac:dyDescent="0.45">
      <c r="A4" t="s">
        <v>13</v>
      </c>
      <c r="B4">
        <v>2</v>
      </c>
      <c r="C4">
        <v>164</v>
      </c>
      <c r="D4">
        <f t="shared" si="0"/>
        <v>328</v>
      </c>
      <c r="E4" t="s">
        <v>15</v>
      </c>
    </row>
    <row r="5" spans="1:7" x14ac:dyDescent="0.45">
      <c r="A5" t="s">
        <v>12</v>
      </c>
      <c r="B5">
        <v>1</v>
      </c>
      <c r="C5">
        <v>637</v>
      </c>
      <c r="D5">
        <f t="shared" si="0"/>
        <v>637</v>
      </c>
      <c r="E5" t="s">
        <v>14</v>
      </c>
    </row>
    <row r="6" spans="1:7" x14ac:dyDescent="0.45">
      <c r="A6" t="s">
        <v>16</v>
      </c>
      <c r="B6">
        <v>2</v>
      </c>
      <c r="C6">
        <v>846</v>
      </c>
      <c r="D6">
        <f t="shared" si="0"/>
        <v>1692</v>
      </c>
      <c r="E6" t="s">
        <v>19</v>
      </c>
    </row>
    <row r="7" spans="1:7" x14ac:dyDescent="0.45">
      <c r="A7" t="s">
        <v>17</v>
      </c>
      <c r="B7">
        <v>2</v>
      </c>
      <c r="C7">
        <v>846</v>
      </c>
      <c r="D7">
        <f t="shared" si="0"/>
        <v>1692</v>
      </c>
      <c r="E7" t="s">
        <v>20</v>
      </c>
    </row>
    <row r="8" spans="1:7" x14ac:dyDescent="0.45">
      <c r="A8" t="s">
        <v>18</v>
      </c>
      <c r="B8">
        <v>4</v>
      </c>
      <c r="C8">
        <v>978</v>
      </c>
      <c r="D8">
        <f t="shared" si="0"/>
        <v>3912</v>
      </c>
      <c r="E8" t="s">
        <v>21</v>
      </c>
    </row>
    <row r="9" spans="1:7" x14ac:dyDescent="0.45">
      <c r="A9" t="s">
        <v>23</v>
      </c>
      <c r="B9">
        <v>1</v>
      </c>
      <c r="C9">
        <v>956</v>
      </c>
      <c r="D9">
        <f t="shared" si="0"/>
        <v>956</v>
      </c>
      <c r="E9" t="s">
        <v>22</v>
      </c>
    </row>
    <row r="10" spans="1:7" x14ac:dyDescent="0.45">
      <c r="A10" t="s">
        <v>33</v>
      </c>
      <c r="B10">
        <v>3</v>
      </c>
      <c r="C10">
        <v>450</v>
      </c>
      <c r="D10">
        <f t="shared" si="0"/>
        <v>1350</v>
      </c>
      <c r="E10" s="2" t="s">
        <v>35</v>
      </c>
    </row>
    <row r="11" spans="1:7" x14ac:dyDescent="0.45">
      <c r="A11" t="s">
        <v>34</v>
      </c>
      <c r="B11">
        <v>2</v>
      </c>
      <c r="C11">
        <v>428</v>
      </c>
      <c r="D11">
        <f t="shared" si="0"/>
        <v>856</v>
      </c>
      <c r="E11" t="s">
        <v>36</v>
      </c>
    </row>
    <row r="12" spans="1:7" x14ac:dyDescent="0.45">
      <c r="A12" t="s">
        <v>30</v>
      </c>
      <c r="B12">
        <v>1</v>
      </c>
      <c r="C12">
        <v>1033</v>
      </c>
      <c r="D12">
        <f t="shared" si="0"/>
        <v>1033</v>
      </c>
      <c r="E12" t="s">
        <v>32</v>
      </c>
    </row>
    <row r="13" spans="1:7" x14ac:dyDescent="0.45">
      <c r="A13" t="s">
        <v>51</v>
      </c>
      <c r="B13">
        <v>2</v>
      </c>
      <c r="C13">
        <v>868</v>
      </c>
      <c r="D13">
        <f t="shared" si="0"/>
        <v>1736</v>
      </c>
      <c r="E13" t="s">
        <v>50</v>
      </c>
    </row>
    <row r="14" spans="1:7" x14ac:dyDescent="0.45">
      <c r="A14" t="s">
        <v>52</v>
      </c>
      <c r="B14">
        <v>1</v>
      </c>
      <c r="C14">
        <v>868</v>
      </c>
      <c r="D14">
        <f t="shared" si="0"/>
        <v>868</v>
      </c>
      <c r="E14" t="s">
        <v>53</v>
      </c>
    </row>
    <row r="15" spans="1:7" x14ac:dyDescent="0.45">
      <c r="A15" t="s">
        <v>31</v>
      </c>
      <c r="B15">
        <v>1</v>
      </c>
      <c r="C15">
        <v>1044</v>
      </c>
      <c r="D15">
        <f t="shared" si="0"/>
        <v>1044</v>
      </c>
      <c r="E15" t="s">
        <v>37</v>
      </c>
    </row>
    <row r="16" spans="1:7" x14ac:dyDescent="0.45">
      <c r="A16" t="s">
        <v>38</v>
      </c>
      <c r="B16">
        <v>3</v>
      </c>
      <c r="C16">
        <v>296</v>
      </c>
      <c r="D16">
        <f t="shared" si="0"/>
        <v>888</v>
      </c>
      <c r="E16" t="s">
        <v>40</v>
      </c>
    </row>
    <row r="17" spans="1:5" x14ac:dyDescent="0.45">
      <c r="A17" t="s">
        <v>43</v>
      </c>
      <c r="B17">
        <v>1</v>
      </c>
      <c r="C17">
        <v>626</v>
      </c>
      <c r="D17">
        <f t="shared" si="0"/>
        <v>626</v>
      </c>
      <c r="E17" t="s">
        <v>42</v>
      </c>
    </row>
    <row r="18" spans="1:5" x14ac:dyDescent="0.45">
      <c r="A18" t="s">
        <v>39</v>
      </c>
      <c r="B18">
        <v>3</v>
      </c>
      <c r="C18">
        <v>340</v>
      </c>
      <c r="D18">
        <f t="shared" si="0"/>
        <v>1020</v>
      </c>
      <c r="E18" t="s">
        <v>41</v>
      </c>
    </row>
    <row r="19" spans="1:5" x14ac:dyDescent="0.45">
      <c r="D19">
        <f t="shared" si="0"/>
        <v>0</v>
      </c>
    </row>
    <row r="20" spans="1:5" x14ac:dyDescent="0.45">
      <c r="A20" s="5" t="s">
        <v>77</v>
      </c>
      <c r="B20">
        <v>4</v>
      </c>
      <c r="C20">
        <v>835</v>
      </c>
      <c r="D20">
        <f t="shared" si="0"/>
        <v>3340</v>
      </c>
      <c r="E20" s="2" t="s">
        <v>79</v>
      </c>
    </row>
    <row r="21" spans="1:5" x14ac:dyDescent="0.45">
      <c r="A21" s="5" t="s">
        <v>78</v>
      </c>
      <c r="B21">
        <v>6</v>
      </c>
      <c r="C21">
        <v>879</v>
      </c>
      <c r="D21">
        <f t="shared" si="0"/>
        <v>5274</v>
      </c>
      <c r="E21" s="2" t="s">
        <v>76</v>
      </c>
    </row>
    <row r="22" spans="1:5" x14ac:dyDescent="0.45">
      <c r="A22" s="5" t="s">
        <v>63</v>
      </c>
      <c r="B22">
        <v>5</v>
      </c>
      <c r="C22">
        <v>747</v>
      </c>
      <c r="D22">
        <f t="shared" si="0"/>
        <v>3735</v>
      </c>
      <c r="E22" s="2" t="s">
        <v>65</v>
      </c>
    </row>
    <row r="23" spans="1:5" x14ac:dyDescent="0.45">
      <c r="A23" s="5" t="s">
        <v>64</v>
      </c>
      <c r="B23">
        <v>5</v>
      </c>
      <c r="C23">
        <v>747</v>
      </c>
      <c r="D23">
        <f>B23*C23</f>
        <v>3735</v>
      </c>
      <c r="E23" s="2" t="s">
        <v>62</v>
      </c>
    </row>
    <row r="24" spans="1:5" x14ac:dyDescent="0.45">
      <c r="A24" t="s">
        <v>49</v>
      </c>
      <c r="B24">
        <v>4</v>
      </c>
      <c r="C24">
        <v>1538</v>
      </c>
      <c r="D24">
        <f t="shared" si="0"/>
        <v>6152</v>
      </c>
      <c r="E24" t="s">
        <v>56</v>
      </c>
    </row>
    <row r="25" spans="1:5" x14ac:dyDescent="0.45">
      <c r="A25" s="5" t="s">
        <v>55</v>
      </c>
      <c r="B25">
        <v>2</v>
      </c>
      <c r="C25">
        <v>1099</v>
      </c>
      <c r="D25">
        <f t="shared" si="0"/>
        <v>2198</v>
      </c>
      <c r="E25" s="2" t="s">
        <v>84</v>
      </c>
    </row>
    <row r="26" spans="1:5" x14ac:dyDescent="0.45">
      <c r="A26" s="5" t="s">
        <v>54</v>
      </c>
      <c r="B26">
        <v>2</v>
      </c>
      <c r="C26">
        <v>1318</v>
      </c>
      <c r="D26">
        <f t="shared" si="0"/>
        <v>2636</v>
      </c>
      <c r="E26" s="2" t="s">
        <v>83</v>
      </c>
    </row>
    <row r="27" spans="1:5" x14ac:dyDescent="0.45">
      <c r="A27" s="6" t="s">
        <v>66</v>
      </c>
      <c r="B27">
        <v>10</v>
      </c>
      <c r="C27">
        <v>296</v>
      </c>
      <c r="D27">
        <f t="shared" si="0"/>
        <v>2960</v>
      </c>
      <c r="E27" t="s">
        <v>67</v>
      </c>
    </row>
    <row r="28" spans="1:5" x14ac:dyDescent="0.45">
      <c r="A28" s="6" t="s">
        <v>6</v>
      </c>
      <c r="B28">
        <v>5</v>
      </c>
      <c r="C28">
        <v>945</v>
      </c>
      <c r="D28">
        <f t="shared" si="0"/>
        <v>4725</v>
      </c>
      <c r="E28" s="2" t="s">
        <v>82</v>
      </c>
    </row>
    <row r="29" spans="1:5" x14ac:dyDescent="0.45">
      <c r="A29" s="6" t="s">
        <v>7</v>
      </c>
      <c r="B29">
        <v>7</v>
      </c>
      <c r="C29">
        <v>714</v>
      </c>
      <c r="D29">
        <f t="shared" si="0"/>
        <v>4998</v>
      </c>
      <c r="E29" s="2" t="s">
        <v>68</v>
      </c>
    </row>
    <row r="30" spans="1:5" x14ac:dyDescent="0.45">
      <c r="A30" s="6" t="s">
        <v>26</v>
      </c>
      <c r="B30">
        <v>1</v>
      </c>
      <c r="C30">
        <v>5278</v>
      </c>
      <c r="D30">
        <f t="shared" si="0"/>
        <v>5278</v>
      </c>
      <c r="E30" t="s">
        <v>59</v>
      </c>
    </row>
    <row r="31" spans="1:5" x14ac:dyDescent="0.45">
      <c r="A31" s="6" t="s">
        <v>58</v>
      </c>
      <c r="B31">
        <v>3</v>
      </c>
      <c r="C31">
        <v>604</v>
      </c>
      <c r="D31">
        <f t="shared" si="0"/>
        <v>1812</v>
      </c>
      <c r="E31" t="s">
        <v>60</v>
      </c>
    </row>
    <row r="32" spans="1:5" x14ac:dyDescent="0.45">
      <c r="A32" s="6" t="s">
        <v>29</v>
      </c>
      <c r="B32">
        <v>3</v>
      </c>
      <c r="C32">
        <v>956</v>
      </c>
      <c r="D32">
        <f t="shared" si="0"/>
        <v>2868</v>
      </c>
      <c r="E32" t="s">
        <v>61</v>
      </c>
    </row>
    <row r="33" spans="1:5" x14ac:dyDescent="0.45">
      <c r="A33" s="5" t="s">
        <v>25</v>
      </c>
      <c r="B33">
        <v>25</v>
      </c>
      <c r="C33">
        <v>150</v>
      </c>
      <c r="D33">
        <f t="shared" si="0"/>
        <v>3750</v>
      </c>
      <c r="E33" s="2" t="s">
        <v>85</v>
      </c>
    </row>
    <row r="34" spans="1:5" x14ac:dyDescent="0.45">
      <c r="A34" t="s">
        <v>46</v>
      </c>
      <c r="B34">
        <v>51</v>
      </c>
      <c r="C34">
        <v>69.3</v>
      </c>
      <c r="D34">
        <f t="shared" si="0"/>
        <v>3534.2999999999997</v>
      </c>
      <c r="E34" s="2" t="s">
        <v>57</v>
      </c>
    </row>
    <row r="35" spans="1:5" x14ac:dyDescent="0.45">
      <c r="A35" t="s">
        <v>45</v>
      </c>
      <c r="B35">
        <v>20</v>
      </c>
      <c r="C35">
        <v>108</v>
      </c>
      <c r="D35">
        <f t="shared" si="0"/>
        <v>2160</v>
      </c>
      <c r="E35" t="s">
        <v>44</v>
      </c>
    </row>
    <row r="36" spans="1:5" x14ac:dyDescent="0.45">
      <c r="A36" s="6" t="s">
        <v>27</v>
      </c>
      <c r="B36">
        <v>5</v>
      </c>
      <c r="C36">
        <v>2009</v>
      </c>
      <c r="D36">
        <f t="shared" si="0"/>
        <v>10045</v>
      </c>
      <c r="E36" t="s">
        <v>47</v>
      </c>
    </row>
    <row r="37" spans="1:5" x14ac:dyDescent="0.45">
      <c r="A37" s="6" t="s">
        <v>28</v>
      </c>
      <c r="B37">
        <v>2</v>
      </c>
      <c r="C37">
        <v>2799</v>
      </c>
      <c r="D37">
        <f t="shared" si="0"/>
        <v>5598</v>
      </c>
      <c r="E37" t="s">
        <v>48</v>
      </c>
    </row>
    <row r="38" spans="1:5" x14ac:dyDescent="0.45">
      <c r="A38" t="s">
        <v>80</v>
      </c>
      <c r="B38">
        <v>1</v>
      </c>
      <c r="C38">
        <v>912</v>
      </c>
      <c r="D38">
        <f t="shared" si="0"/>
        <v>912</v>
      </c>
      <c r="E38" t="s">
        <v>81</v>
      </c>
    </row>
    <row r="40" spans="1:5" x14ac:dyDescent="0.45">
      <c r="A40" t="s">
        <v>5</v>
      </c>
      <c r="B40">
        <v>15</v>
      </c>
      <c r="C40">
        <v>250</v>
      </c>
      <c r="D40">
        <f t="shared" ref="D40:D45" si="1">B40*C40</f>
        <v>3750</v>
      </c>
      <c r="E40" t="s">
        <v>69</v>
      </c>
    </row>
    <row r="41" spans="1:5" x14ac:dyDescent="0.45">
      <c r="D41">
        <f t="shared" si="1"/>
        <v>0</v>
      </c>
    </row>
    <row r="42" spans="1:5" x14ac:dyDescent="0.45">
      <c r="A42" t="s">
        <v>73</v>
      </c>
      <c r="B42">
        <v>3</v>
      </c>
      <c r="C42">
        <v>220</v>
      </c>
      <c r="D42">
        <f t="shared" si="1"/>
        <v>660</v>
      </c>
      <c r="E42" t="s">
        <v>71</v>
      </c>
    </row>
    <row r="43" spans="1:5" x14ac:dyDescent="0.45">
      <c r="A43" t="s">
        <v>72</v>
      </c>
      <c r="B43">
        <v>3</v>
      </c>
      <c r="C43">
        <v>457</v>
      </c>
      <c r="D43">
        <f t="shared" si="1"/>
        <v>1371</v>
      </c>
      <c r="E43" s="2"/>
    </row>
    <row r="44" spans="1:5" x14ac:dyDescent="0.45">
      <c r="A44" t="s">
        <v>70</v>
      </c>
      <c r="B44">
        <v>3</v>
      </c>
      <c r="C44" s="4">
        <v>738</v>
      </c>
      <c r="D44">
        <f t="shared" si="1"/>
        <v>2214</v>
      </c>
      <c r="E44" s="2"/>
    </row>
    <row r="45" spans="1:5" x14ac:dyDescent="0.45">
      <c r="A45" t="s">
        <v>74</v>
      </c>
      <c r="B45">
        <v>1</v>
      </c>
      <c r="C45">
        <v>4837</v>
      </c>
      <c r="D45">
        <f t="shared" si="1"/>
        <v>4837</v>
      </c>
      <c r="E45" t="s">
        <v>75</v>
      </c>
    </row>
  </sheetData>
  <phoneticPr fontId="1"/>
  <hyperlinks>
    <hyperlink ref="E2" r:id="rId1" xr:uid="{A9B04C0B-B12D-4FF8-BBF4-FFDDF44EE178}"/>
    <hyperlink ref="E10" r:id="rId2" xr:uid="{DE4E7CDC-E232-4590-A6E3-DF2EA2CF45F6}"/>
    <hyperlink ref="E34" r:id="rId3" xr:uid="{E4B14C79-FB4F-49C4-BA22-B0B8DF458440}"/>
    <hyperlink ref="E23" r:id="rId4" xr:uid="{3F6A61CD-FE52-4F2D-9DC6-23D753E5615E}"/>
    <hyperlink ref="E22" r:id="rId5" xr:uid="{FE1FB4BF-890E-4B6E-B23B-D4066293739F}"/>
    <hyperlink ref="E29" r:id="rId6" xr:uid="{90BE6755-B4FB-4C9D-89B3-6CE9F4B29DE9}"/>
    <hyperlink ref="E21" r:id="rId7" xr:uid="{31F626C5-93F5-4406-837E-30F26A9D179A}"/>
    <hyperlink ref="E20" r:id="rId8" display="https://www.monotaro.com/p/3774/0333/" xr:uid="{8658DBD7-8140-464A-9710-A2FB30811491}"/>
    <hyperlink ref="E28" r:id="rId9" xr:uid="{98F3AE0C-561B-47F6-9244-54C4D628EFB1}"/>
    <hyperlink ref="E26" r:id="rId10" xr:uid="{41AD0B6B-97B0-45FD-99F6-E5D58ECE4454}"/>
    <hyperlink ref="E25" r:id="rId11" xr:uid="{ADA14B68-36AB-4C09-9B66-35C3E96CF132}"/>
    <hyperlink ref="E33" r:id="rId12" xr:uid="{BFFCB9A5-4E34-40F6-BD7B-808AEBEF0D87}"/>
  </hyperlinks>
  <pageMargins left="0.7" right="0.7" top="0.75" bottom="0.75" header="0.3" footer="0.3"/>
  <pageSetup paperSize="0" orientation="portrait" r:id="rId1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斉藤 実桜_舞鶴S学生</dc:creator>
  <cp:lastModifiedBy>斉藤 実桜_舞鶴S学生</cp:lastModifiedBy>
  <cp:lastPrinted>2024-11-28T06:48:56Z</cp:lastPrinted>
  <dcterms:created xsi:type="dcterms:W3CDTF">2024-11-26T16:30:17Z</dcterms:created>
  <dcterms:modified xsi:type="dcterms:W3CDTF">2025-01-25T16:08:20Z</dcterms:modified>
</cp:coreProperties>
</file>