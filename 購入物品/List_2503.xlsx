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ドキュメント\github\Kyachirobo\購入物品\"/>
    </mc:Choice>
  </mc:AlternateContent>
  <xr:revisionPtr revIDLastSave="0" documentId="13_ncr:1_{7AAE969D-409A-4CEE-B4E5-56CFE3C76261}" xr6:coauthVersionLast="47" xr6:coauthVersionMax="47" xr10:uidLastSave="{00000000-0000-0000-0000-000000000000}"/>
  <bookViews>
    <workbookView xWindow="0" yWindow="0" windowWidth="16920" windowHeight="11490" xr2:uid="{11892E61-BAB7-4447-B287-FAAF14CE4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36" i="1"/>
  <c r="D18" i="1"/>
  <c r="D41" i="1"/>
  <c r="D20" i="1"/>
  <c r="D29" i="1"/>
  <c r="D23" i="1"/>
  <c r="D24" i="1"/>
  <c r="D21" i="1"/>
  <c r="D15" i="1"/>
  <c r="D16" i="1"/>
  <c r="D19" i="1"/>
  <c r="D22" i="1"/>
  <c r="D25" i="1"/>
  <c r="D26" i="1"/>
  <c r="D27" i="1"/>
  <c r="D28" i="1"/>
  <c r="D30" i="1"/>
  <c r="D31" i="1"/>
  <c r="D32" i="1"/>
  <c r="D33" i="1"/>
  <c r="D34" i="1"/>
  <c r="D35" i="1"/>
  <c r="D17" i="1"/>
  <c r="D38" i="1"/>
  <c r="D39" i="1"/>
  <c r="D40" i="1"/>
  <c r="D42" i="1"/>
  <c r="D43" i="1"/>
  <c r="H1" i="1" l="1"/>
  <c r="J1" i="1" s="1"/>
</calcChain>
</file>

<file path=xl/sharedStrings.xml><?xml version="1.0" encoding="utf-8"?>
<sst xmlns="http://schemas.openxmlformats.org/spreadsheetml/2006/main" count="31" uniqueCount="30">
  <si>
    <t>商品名等</t>
    <rPh sb="0" eb="3">
      <t>ショウヒンメイ</t>
    </rPh>
    <rPh sb="3" eb="4">
      <t>トウ</t>
    </rPh>
    <phoneticPr fontId="1"/>
  </si>
  <si>
    <t>個数</t>
    <rPh sb="0" eb="2">
      <t>コスウ</t>
    </rPh>
    <phoneticPr fontId="1"/>
  </si>
  <si>
    <t>合計金額</t>
    <rPh sb="0" eb="2">
      <t>ゴウケイ</t>
    </rPh>
    <rPh sb="2" eb="4">
      <t>キンガク</t>
    </rPh>
    <phoneticPr fontId="1"/>
  </si>
  <si>
    <t>単価*個数</t>
    <rPh sb="0" eb="2">
      <t>タンカ</t>
    </rPh>
    <rPh sb="3" eb="5">
      <t>コスウ</t>
    </rPh>
    <phoneticPr fontId="1"/>
  </si>
  <si>
    <t>リンク等</t>
    <rPh sb="3" eb="4">
      <t>トウ</t>
    </rPh>
    <phoneticPr fontId="1"/>
  </si>
  <si>
    <t>型番等</t>
    <rPh sb="0" eb="2">
      <t>カタバン</t>
    </rPh>
    <rPh sb="2" eb="3">
      <t>トウ</t>
    </rPh>
    <phoneticPr fontId="1"/>
  </si>
  <si>
    <t>マルチローラーリニアガイドレール　200mm</t>
    <phoneticPr fontId="1"/>
  </si>
  <si>
    <t>単価(税別 )</t>
    <rPh sb="0" eb="2">
      <t>タンカ</t>
    </rPh>
    <rPh sb="3" eb="5">
      <t>ゼイベツ</t>
    </rPh>
    <phoneticPr fontId="1"/>
  </si>
  <si>
    <t>税込</t>
    <rPh sb="0" eb="2">
      <t>ゼイコ</t>
    </rPh>
    <phoneticPr fontId="1"/>
  </si>
  <si>
    <t>https://www.monotaro.com/g/06153937/</t>
  </si>
  <si>
    <t>キャリッジショート</t>
    <phoneticPr fontId="1"/>
  </si>
  <si>
    <t>https://www.monotaro.com/p/5549/2265/</t>
    <phoneticPr fontId="1"/>
  </si>
  <si>
    <t>https://www.monotaro.com/p/4781/7536/?t.q=%8F%C4%82%AB%93%FC%82%EA%83%8A%83%7B%83%93%8D%7C</t>
    <phoneticPr fontId="1"/>
  </si>
  <si>
    <t>焼き入れリボン</t>
    <rPh sb="0" eb="1">
      <t>ヤ</t>
    </rPh>
    <rPh sb="2" eb="3">
      <t>イ</t>
    </rPh>
    <phoneticPr fontId="1"/>
  </si>
  <si>
    <t>C-SE693ZZ</t>
  </si>
  <si>
    <t>3-8-4ベアリング</t>
    <phoneticPr fontId="1"/>
  </si>
  <si>
    <t>https://jp.misumi-ec.com/vona2/detail/110310432539/?c_value=1&amp;clkid=basic_shape_template&amp;list=PageCategory</t>
  </si>
  <si>
    <t>https://www.monotaro.com/p/4220/5292/</t>
  </si>
  <si>
    <t>https://www.monotaro.com/p/3534/3323/</t>
  </si>
  <si>
    <t>メタルロック　接着剤</t>
    <rPh sb="7" eb="10">
      <t>セッチャクザイ</t>
    </rPh>
    <phoneticPr fontId="1"/>
  </si>
  <si>
    <t>https://www.monotaro.com/p/4571/3631/?t.q=%83L%81%5B%83s%83%93%81%40%97%BC%8A%DB</t>
    <phoneticPr fontId="1"/>
  </si>
  <si>
    <t>キーピン　両丸</t>
    <rPh sb="5" eb="7">
      <t>リョウマル</t>
    </rPh>
    <phoneticPr fontId="1"/>
  </si>
  <si>
    <t>平行ピンφ3 10mm(7個入り)</t>
    <rPh sb="0" eb="2">
      <t>ヘイコウ</t>
    </rPh>
    <rPh sb="13" eb="14">
      <t>コ</t>
    </rPh>
    <rPh sb="14" eb="15">
      <t>イ</t>
    </rPh>
    <phoneticPr fontId="1"/>
  </si>
  <si>
    <t>ミスミフレーム　5シリーズ　1060mm</t>
    <phoneticPr fontId="1"/>
  </si>
  <si>
    <t>ミスミフレーム　5シリーズ　270mm</t>
    <phoneticPr fontId="1"/>
  </si>
  <si>
    <t>https://jp.misumi-ec.com/vona2/detail/110302683830/?KWSearch=%E3%83%9F%E3%82%B9%E3%83%9F%E3%83%95%E3%83%AC%E3%83%BC%E3%83%A0+5&amp;searchFlow=results2products</t>
    <phoneticPr fontId="1"/>
  </si>
  <si>
    <t>https://jp.misumi-ec.com/vona2/detail/110302607960/?HissuCode=HNTT5-3</t>
    <phoneticPr fontId="1"/>
  </si>
  <si>
    <t>473mm指定</t>
    <rPh sb="5" eb="7">
      <t>シテイ</t>
    </rPh>
    <phoneticPr fontId="1"/>
  </si>
  <si>
    <t>1180mm指定</t>
    <rPh sb="6" eb="8">
      <t>シテイ</t>
    </rPh>
    <phoneticPr fontId="1"/>
  </si>
  <si>
    <t>先入れナット　M3</t>
    <rPh sb="0" eb="2">
      <t>サキイ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</si>
</sst>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333333"/>
      <name val="游ゴシック"/>
      <family val="3"/>
      <charset val="128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1">
      <alignment vertical="center"/>
    </xf>
    <xf numFmtId="1" fontId="0" fillId="0" borderId="2" xfId="0" applyNumberFormat="1" applyBorder="1">
      <alignment vertical="center"/>
    </xf>
    <xf numFmtId="3" fontId="3" fillId="0" borderId="0" xfId="0" applyNumberFormat="1" applyFont="1">
      <alignment vertical="center"/>
    </xf>
    <xf numFmtId="0" fontId="4" fillId="2" borderId="3" xfId="0" applyFont="1" applyFill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notaro.com/p/4571/3631/?t.q=%83L%81%5B%83s%83%93%81%40%97%BC%8A%DB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monotaro.com/p/4781/7536/?t.q=%8F%C4%82%AB%93%FC%82%EA%83%8A%83%7B%83%93%8D%7C" TargetMode="External"/><Relationship Id="rId1" Type="http://schemas.openxmlformats.org/officeDocument/2006/relationships/hyperlink" Target="https://www.monotaro.com/p/5549/2265/" TargetMode="External"/><Relationship Id="rId6" Type="http://schemas.openxmlformats.org/officeDocument/2006/relationships/hyperlink" Target="https://jp.misumi-ec.com/vona2/detail/110302683830/?KWSearch=%E3%83%9F%E3%82%B9%E3%83%9F%E3%83%95%E3%83%AC%E3%83%BC%E3%83%A0+5&amp;searchFlow=results2products" TargetMode="External"/><Relationship Id="rId5" Type="http://schemas.openxmlformats.org/officeDocument/2006/relationships/hyperlink" Target="https://jp.misumi-ec.com/vona2/detail/110302683830/?KWSearch=%E3%83%9F%E3%82%B9%E3%83%9F%E3%83%95%E3%83%AC%E3%83%BC%E3%83%A0+5&amp;searchFlow=results2products" TargetMode="External"/><Relationship Id="rId4" Type="http://schemas.openxmlformats.org/officeDocument/2006/relationships/hyperlink" Target="https://jp.misumi-ec.com/vona2/detail/110302607960/?HissuCode=HNTT5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1177-A493-4134-8091-2DDC561B3FE6}">
  <dimension ref="A1:J43"/>
  <sheetViews>
    <sheetView tabSelected="1" zoomScale="70" zoomScaleNormal="70" workbookViewId="0">
      <pane ySplit="1" topLeftCell="A2" activePane="bottomLeft" state="frozen"/>
      <selection pane="bottomLeft" activeCell="G20" sqref="G20"/>
    </sheetView>
  </sheetViews>
  <sheetFormatPr defaultRowHeight="18.75" x14ac:dyDescent="0.4"/>
  <cols>
    <col min="1" max="1" width="23.375" customWidth="1"/>
    <col min="2" max="2" width="6.625" customWidth="1"/>
    <col min="3" max="3" width="9.75" customWidth="1"/>
    <col min="4" max="4" width="9.125" customWidth="1"/>
    <col min="5" max="5" width="15.125" customWidth="1"/>
    <col min="6" max="6" width="20.5" customWidth="1"/>
  </cols>
  <sheetData>
    <row r="1" spans="1:10" ht="19.5" thickBot="1" x14ac:dyDescent="0.45">
      <c r="A1" t="s">
        <v>0</v>
      </c>
      <c r="B1" t="s">
        <v>1</v>
      </c>
      <c r="C1" t="s">
        <v>7</v>
      </c>
      <c r="D1" t="s">
        <v>3</v>
      </c>
      <c r="E1" t="s">
        <v>5</v>
      </c>
      <c r="F1" t="s">
        <v>4</v>
      </c>
      <c r="G1" s="1" t="s">
        <v>2</v>
      </c>
      <c r="H1" s="3">
        <f>SUM(D:D)</f>
        <v>12101</v>
      </c>
      <c r="I1" t="s">
        <v>8</v>
      </c>
      <c r="J1">
        <f>H1*1.1</f>
        <v>13311.1</v>
      </c>
    </row>
    <row r="2" spans="1:10" x14ac:dyDescent="0.4">
      <c r="A2" t="s">
        <v>6</v>
      </c>
      <c r="B2">
        <v>2</v>
      </c>
      <c r="C2">
        <v>759</v>
      </c>
      <c r="D2">
        <f t="shared" ref="D2:D14" si="0">B2*C2</f>
        <v>1518</v>
      </c>
      <c r="F2" s="2" t="s">
        <v>11</v>
      </c>
    </row>
    <row r="3" spans="1:10" x14ac:dyDescent="0.4">
      <c r="A3" t="s">
        <v>10</v>
      </c>
      <c r="B3">
        <v>1</v>
      </c>
      <c r="C3">
        <v>999</v>
      </c>
      <c r="D3">
        <f t="shared" si="0"/>
        <v>999</v>
      </c>
      <c r="F3" s="2" t="s">
        <v>9</v>
      </c>
    </row>
    <row r="4" spans="1:10" x14ac:dyDescent="0.4">
      <c r="A4" t="s">
        <v>13</v>
      </c>
      <c r="B4">
        <v>6</v>
      </c>
      <c r="C4">
        <v>439</v>
      </c>
      <c r="D4">
        <f t="shared" si="0"/>
        <v>2634</v>
      </c>
      <c r="F4" s="2" t="s">
        <v>12</v>
      </c>
    </row>
    <row r="5" spans="1:10" ht="19.5" thickBot="1" x14ac:dyDescent="0.45">
      <c r="A5" t="s">
        <v>15</v>
      </c>
      <c r="B5">
        <v>20</v>
      </c>
      <c r="C5">
        <v>115</v>
      </c>
      <c r="D5">
        <f t="shared" si="0"/>
        <v>2300</v>
      </c>
      <c r="E5" s="5" t="s">
        <v>14</v>
      </c>
      <c r="F5" s="2" t="s">
        <v>16</v>
      </c>
    </row>
    <row r="6" spans="1:10" x14ac:dyDescent="0.4">
      <c r="A6" t="s">
        <v>22</v>
      </c>
      <c r="B6">
        <v>1</v>
      </c>
      <c r="C6">
        <v>529</v>
      </c>
      <c r="D6">
        <f t="shared" si="0"/>
        <v>529</v>
      </c>
      <c r="F6" s="2" t="s">
        <v>17</v>
      </c>
    </row>
    <row r="7" spans="1:10" x14ac:dyDescent="0.4">
      <c r="A7" t="s">
        <v>19</v>
      </c>
      <c r="B7">
        <v>1</v>
      </c>
      <c r="C7">
        <v>979</v>
      </c>
      <c r="D7">
        <f t="shared" si="0"/>
        <v>979</v>
      </c>
      <c r="F7" s="2" t="s">
        <v>18</v>
      </c>
    </row>
    <row r="8" spans="1:10" x14ac:dyDescent="0.4">
      <c r="A8" t="s">
        <v>21</v>
      </c>
      <c r="B8">
        <v>2</v>
      </c>
      <c r="C8">
        <v>161</v>
      </c>
      <c r="D8">
        <f t="shared" si="0"/>
        <v>322</v>
      </c>
      <c r="F8" s="2" t="s">
        <v>20</v>
      </c>
    </row>
    <row r="9" spans="1:10" x14ac:dyDescent="0.4">
      <c r="A9" t="s">
        <v>23</v>
      </c>
      <c r="B9">
        <v>2</v>
      </c>
      <c r="C9">
        <v>620</v>
      </c>
      <c r="D9">
        <f t="shared" si="0"/>
        <v>1240</v>
      </c>
      <c r="E9" t="s">
        <v>28</v>
      </c>
      <c r="F9" s="2" t="s">
        <v>25</v>
      </c>
    </row>
    <row r="10" spans="1:10" x14ac:dyDescent="0.4">
      <c r="A10" t="s">
        <v>24</v>
      </c>
      <c r="B10">
        <v>2</v>
      </c>
      <c r="C10">
        <v>250</v>
      </c>
      <c r="D10">
        <f t="shared" si="0"/>
        <v>500</v>
      </c>
      <c r="E10" t="s">
        <v>27</v>
      </c>
      <c r="F10" s="2" t="s">
        <v>25</v>
      </c>
    </row>
    <row r="11" spans="1:10" x14ac:dyDescent="0.4">
      <c r="A11" t="s">
        <v>29</v>
      </c>
      <c r="B11">
        <v>30</v>
      </c>
      <c r="C11">
        <v>36</v>
      </c>
      <c r="D11">
        <f t="shared" si="0"/>
        <v>1080</v>
      </c>
      <c r="F11" s="2" t="s">
        <v>26</v>
      </c>
    </row>
    <row r="12" spans="1:10" x14ac:dyDescent="0.4">
      <c r="D12">
        <f t="shared" si="0"/>
        <v>0</v>
      </c>
    </row>
    <row r="13" spans="1:10" x14ac:dyDescent="0.4">
      <c r="D13">
        <f t="shared" si="0"/>
        <v>0</v>
      </c>
    </row>
    <row r="14" spans="1:10" x14ac:dyDescent="0.4">
      <c r="D14">
        <f t="shared" si="0"/>
        <v>0</v>
      </c>
    </row>
    <row r="15" spans="1:10" x14ac:dyDescent="0.4">
      <c r="D15">
        <f t="shared" ref="D15:D36" si="1">B15*C15</f>
        <v>0</v>
      </c>
    </row>
    <row r="16" spans="1:10" x14ac:dyDescent="0.4">
      <c r="D16">
        <f t="shared" si="1"/>
        <v>0</v>
      </c>
    </row>
    <row r="17" spans="4:6" x14ac:dyDescent="0.4">
      <c r="D17">
        <f t="shared" si="1"/>
        <v>0</v>
      </c>
    </row>
    <row r="18" spans="4:6" x14ac:dyDescent="0.4">
      <c r="D18">
        <f t="shared" si="1"/>
        <v>0</v>
      </c>
      <c r="F18" s="2"/>
    </row>
    <row r="19" spans="4:6" x14ac:dyDescent="0.4">
      <c r="D19">
        <f t="shared" si="1"/>
        <v>0</v>
      </c>
      <c r="F19" s="2"/>
    </row>
    <row r="20" spans="4:6" x14ac:dyDescent="0.4">
      <c r="D20">
        <f t="shared" si="1"/>
        <v>0</v>
      </c>
      <c r="F20" s="2"/>
    </row>
    <row r="21" spans="4:6" x14ac:dyDescent="0.4">
      <c r="D21">
        <f t="shared" si="1"/>
        <v>0</v>
      </c>
      <c r="F21" s="2"/>
    </row>
    <row r="22" spans="4:6" x14ac:dyDescent="0.4">
      <c r="D22">
        <f t="shared" si="1"/>
        <v>0</v>
      </c>
    </row>
    <row r="23" spans="4:6" x14ac:dyDescent="0.4">
      <c r="D23">
        <f t="shared" si="1"/>
        <v>0</v>
      </c>
      <c r="F23" s="2"/>
    </row>
    <row r="24" spans="4:6" x14ac:dyDescent="0.4">
      <c r="D24">
        <f t="shared" si="1"/>
        <v>0</v>
      </c>
      <c r="F24" s="2"/>
    </row>
    <row r="25" spans="4:6" x14ac:dyDescent="0.4">
      <c r="D25">
        <f t="shared" si="1"/>
        <v>0</v>
      </c>
    </row>
    <row r="26" spans="4:6" x14ac:dyDescent="0.4">
      <c r="D26">
        <f t="shared" si="1"/>
        <v>0</v>
      </c>
      <c r="F26" s="2"/>
    </row>
    <row r="27" spans="4:6" x14ac:dyDescent="0.4">
      <c r="D27">
        <f t="shared" si="1"/>
        <v>0</v>
      </c>
      <c r="F27" s="2"/>
    </row>
    <row r="28" spans="4:6" x14ac:dyDescent="0.4">
      <c r="D28">
        <f t="shared" si="1"/>
        <v>0</v>
      </c>
    </row>
    <row r="29" spans="4:6" x14ac:dyDescent="0.4">
      <c r="D29">
        <f t="shared" si="1"/>
        <v>0</v>
      </c>
    </row>
    <row r="30" spans="4:6" x14ac:dyDescent="0.4">
      <c r="D30">
        <f t="shared" si="1"/>
        <v>0</v>
      </c>
    </row>
    <row r="31" spans="4:6" x14ac:dyDescent="0.4">
      <c r="D31">
        <f t="shared" si="1"/>
        <v>0</v>
      </c>
    </row>
    <row r="32" spans="4:6" x14ac:dyDescent="0.4">
      <c r="D32">
        <f t="shared" si="1"/>
        <v>0</v>
      </c>
      <c r="F32" s="2"/>
    </row>
    <row r="33" spans="3:6" x14ac:dyDescent="0.4">
      <c r="D33">
        <f t="shared" si="1"/>
        <v>0</v>
      </c>
    </row>
    <row r="34" spans="3:6" x14ac:dyDescent="0.4">
      <c r="D34">
        <f t="shared" si="1"/>
        <v>0</v>
      </c>
    </row>
    <row r="35" spans="3:6" x14ac:dyDescent="0.4">
      <c r="D35">
        <f t="shared" si="1"/>
        <v>0</v>
      </c>
    </row>
    <row r="36" spans="3:6" x14ac:dyDescent="0.4">
      <c r="D36">
        <f t="shared" si="1"/>
        <v>0</v>
      </c>
    </row>
    <row r="38" spans="3:6" x14ac:dyDescent="0.4">
      <c r="D38">
        <f t="shared" ref="D38:D43" si="2">B38*C38</f>
        <v>0</v>
      </c>
    </row>
    <row r="39" spans="3:6" x14ac:dyDescent="0.4">
      <c r="D39">
        <f t="shared" si="2"/>
        <v>0</v>
      </c>
    </row>
    <row r="40" spans="3:6" x14ac:dyDescent="0.4">
      <c r="D40">
        <f t="shared" si="2"/>
        <v>0</v>
      </c>
    </row>
    <row r="41" spans="3:6" x14ac:dyDescent="0.4">
      <c r="D41">
        <f t="shared" si="2"/>
        <v>0</v>
      </c>
      <c r="F41" s="2"/>
    </row>
    <row r="42" spans="3:6" x14ac:dyDescent="0.4">
      <c r="C42" s="4"/>
      <c r="D42">
        <f t="shared" si="2"/>
        <v>0</v>
      </c>
      <c r="F42" s="2"/>
    </row>
    <row r="43" spans="3:6" x14ac:dyDescent="0.4">
      <c r="D43">
        <f t="shared" si="2"/>
        <v>0</v>
      </c>
    </row>
  </sheetData>
  <phoneticPr fontId="1"/>
  <hyperlinks>
    <hyperlink ref="F2" r:id="rId1" xr:uid="{7648CE1D-CEA7-432A-9DBD-862E6B941D5C}"/>
    <hyperlink ref="F4" r:id="rId2" xr:uid="{E95ADC27-3CA9-4D6B-BFDB-70DA95B713ED}"/>
    <hyperlink ref="F8" r:id="rId3" xr:uid="{D1548D5C-A9E5-4070-8359-B5FCB8EDFAB5}"/>
    <hyperlink ref="F11" r:id="rId4" xr:uid="{E63E6377-F651-44D6-9B93-94279C709362}"/>
    <hyperlink ref="F10" r:id="rId5" xr:uid="{B7C44E8F-2A66-4204-AC87-A12E25C50B3D}"/>
    <hyperlink ref="F9" r:id="rId6" xr:uid="{D23E4F58-D648-4A85-B4E8-8CB6715B16C3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斉藤 実桜_舞鶴S学生</dc:creator>
  <cp:lastModifiedBy>斉藤 実桜_舞鶴S学生</cp:lastModifiedBy>
  <cp:lastPrinted>2024-11-28T06:48:56Z</cp:lastPrinted>
  <dcterms:created xsi:type="dcterms:W3CDTF">2024-11-26T16:30:17Z</dcterms:created>
  <dcterms:modified xsi:type="dcterms:W3CDTF">2025-04-18T13:21:43Z</dcterms:modified>
</cp:coreProperties>
</file>