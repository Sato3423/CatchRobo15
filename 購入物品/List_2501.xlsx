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ドキュメント\機械講習\卒研等\購入物品\"/>
    </mc:Choice>
  </mc:AlternateContent>
  <xr:revisionPtr revIDLastSave="0" documentId="13_ncr:1_{9DA2DA3F-18C6-4025-9C5C-F7D560C1F0C5}" xr6:coauthVersionLast="47" xr6:coauthVersionMax="47" xr10:uidLastSave="{00000000-0000-0000-0000-000000000000}"/>
  <bookViews>
    <workbookView xWindow="3732" yWindow="3696" windowWidth="17280" windowHeight="8544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0" i="1"/>
  <c r="D37" i="1"/>
  <c r="D19" i="1"/>
  <c r="D42" i="1"/>
  <c r="D21" i="1"/>
  <c r="D30" i="1"/>
  <c r="D24" i="1"/>
  <c r="D25" i="1"/>
  <c r="D12" i="1"/>
  <c r="D22" i="1"/>
  <c r="D16" i="1"/>
  <c r="D17" i="1"/>
  <c r="D9" i="1"/>
  <c r="D11" i="1"/>
  <c r="D20" i="1"/>
  <c r="D23" i="1"/>
  <c r="D26" i="1"/>
  <c r="D27" i="1"/>
  <c r="D28" i="1"/>
  <c r="D29" i="1"/>
  <c r="D31" i="1"/>
  <c r="D32" i="1"/>
  <c r="D33" i="1"/>
  <c r="D34" i="1"/>
  <c r="D35" i="1"/>
  <c r="D36" i="1"/>
  <c r="D7" i="1"/>
  <c r="D6" i="1"/>
  <c r="D4" i="1"/>
  <c r="D3" i="1"/>
  <c r="D5" i="1"/>
  <c r="D8" i="1"/>
  <c r="D18" i="1"/>
  <c r="D39" i="1"/>
  <c r="D40" i="1"/>
  <c r="D41" i="1"/>
  <c r="D43" i="1"/>
  <c r="D44" i="1"/>
  <c r="D2" i="1"/>
  <c r="H1" i="1" l="1"/>
</calcChain>
</file>

<file path=xl/sharedStrings.xml><?xml version="1.0" encoding="utf-8"?>
<sst xmlns="http://schemas.openxmlformats.org/spreadsheetml/2006/main" count="34" uniqueCount="34">
  <si>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</si>
  <si>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</si>
  <si>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</si>
  <si>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</si>
  <si>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</si>
  <si>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単価(税込)</t>
    <rPh sb="0" eb="2">
      <t>タンカ</t>
    </rPh>
    <rPh sb="3" eb="5">
      <t>ゼイコ</t>
    </rPh>
    <phoneticPr fontId="1"/>
  </si>
  <si>
    <t>M3ナット 三種 (2000/set)</t>
    <rPh sb="6" eb="8">
      <t>サンシュ</t>
    </rPh>
    <phoneticPr fontId="1"/>
  </si>
  <si>
    <t>https://jp.misumi-ec.com/vona2/detail/110311012769/</t>
    <phoneticPr fontId="1"/>
  </si>
  <si>
    <t>E-BOX-GSKNTR3</t>
    <phoneticPr fontId="1"/>
  </si>
  <si>
    <t>M3 ワッシャ (2000/set)</t>
    <phoneticPr fontId="1"/>
  </si>
  <si>
    <t>M3 バネワ(2000/set)</t>
    <phoneticPr fontId="1"/>
  </si>
  <si>
    <t>https://jp.misumi-ec.com/vona2/detail/110311012679/?rid=dj_sub34_detail_2_110311012679_e18_110311012769_a</t>
    <phoneticPr fontId="1"/>
  </si>
  <si>
    <t>E-BOX-GSSLW3</t>
    <phoneticPr fontId="1"/>
  </si>
  <si>
    <t>https://jp.misumi-ec.com/vona2/detail/110311012589/?rid=dj_sub34_detail_1_110311012589_e18_110311012769_a</t>
    <phoneticPr fontId="1"/>
  </si>
  <si>
    <t>E-BOX-GSPWF3</t>
    <phoneticPr fontId="1"/>
  </si>
  <si>
    <t>M3 ナイロンナット (100/set)</t>
    <phoneticPr fontId="1"/>
  </si>
  <si>
    <t>https://www.monotaro.com/p/6391/2879/?t.q=%83i%83C%83%8D%83%93%83i%83b%83g%20m3</t>
    <phoneticPr fontId="1"/>
  </si>
  <si>
    <t>型番等</t>
    <rPh sb="0" eb="2">
      <t>カタバン</t>
    </rPh>
    <rPh sb="2" eb="3">
      <t>トウ</t>
    </rPh>
    <phoneticPr fontId="1"/>
  </si>
  <si>
    <t>ステンレスパイプ　Φ8,2M</t>
    <phoneticPr fontId="1"/>
  </si>
  <si>
    <t>https://www.monotaro.com/p/8625/1165/?t.q=%83X%83e%83%93%83%8C%83X%83p%83C%83v</t>
    <phoneticPr fontId="1"/>
  </si>
  <si>
    <t>フレキラック</t>
    <phoneticPr fontId="1"/>
  </si>
  <si>
    <t>https://www.monotaro.com/p/3799/9981/?t.q=%83t%83%8C%83L%83%89%83b%83N</t>
    <phoneticPr fontId="1"/>
  </si>
  <si>
    <t>低頭ねじ　M3(20pcs/set)</t>
    <rPh sb="0" eb="2">
      <t>テイトウ</t>
    </rPh>
    <phoneticPr fontId="1"/>
  </si>
  <si>
    <t>マイクロブロワ</t>
    <phoneticPr fontId="1"/>
  </si>
  <si>
    <t>https://akizukidenshi.com/catalog/g/g110956/</t>
  </si>
  <si>
    <t>https://www.monotaro.com/p/4920/2176/</t>
    <phoneticPr fontId="1"/>
  </si>
  <si>
    <t>リベットナットM3</t>
    <phoneticPr fontId="1"/>
  </si>
  <si>
    <t>https://www.amazon.co.jp/uxcell-%E3%83%95%E3%83%A9%E3%83%83%E3%83%88%E3%83%98%E3%83%83%E3%83%89%E3%83%AA%E3%83%99%E3%83%83%E3%83%88-%E3%81%AD%E3%81%98%E4%BB%98%E3%81%8D%E3%82%A4%E3%83%B3%E3%82%B5%E3%83%BC%E3%83%88%E3%83%8A%E3%83%83%E3%83%88-%E3%82%A2%E3%83%AB%E3%83%9F%E3%83%8B%E3%82%A6%E3%83%A0%E5%90%88%E9%87%91-%E3%82%B7%E3%83%AB%E3%83%90%E3%83%BC%E3%83%88%E3%83%BC%E3%83%B3-%E8%BB%8A%E7%94%A8-110%E5%80%8B-M3/dp/B083TSR15C/ref=sr_1_6?sr=8-6</t>
    <phoneticPr fontId="1"/>
  </si>
  <si>
    <t>https://www.monotaro.com/p/6253/2603/</t>
  </si>
  <si>
    <t>ナイロン平ベルト</t>
    <rPh sb="4" eb="5">
      <t>ヒラ</t>
    </rPh>
    <phoneticPr fontId="1"/>
  </si>
  <si>
    <t>荷締めベルト　耐荷重100kg</t>
    <rPh sb="0" eb="1">
      <t>ニ</t>
    </rPh>
    <rPh sb="1" eb="2">
      <t>シ</t>
    </rPh>
    <rPh sb="7" eb="10">
      <t>タイカジュウ</t>
    </rPh>
    <phoneticPr fontId="1"/>
  </si>
  <si>
    <t>荷締めベルト　耐荷重10kg</t>
    <rPh sb="0" eb="1">
      <t>ニ</t>
    </rPh>
    <rPh sb="1" eb="2">
      <t>シ</t>
    </rPh>
    <rPh sb="7" eb="10">
      <t>タイカジュウ</t>
    </rPh>
    <phoneticPr fontId="1"/>
  </si>
  <si>
    <t>https://www.monotaro.com/p/2399/1774/?t.q=%83i%83C%83%8D%83%93%83x%83%8B%83g%81%4030mm</t>
  </si>
  <si>
    <t>https://www.monotaro.com/p/2399/1713/?t.q=%83x%83%8B%83g%81%4030mm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</si>
</sst>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jp.misumi-ec.com/vona2/detail/110311012589/?rid=dj_sub34_detail_1_110311012589_e18_110311012769_a" TargetMode="External"/><Relationship Id="rId7" Type="http://schemas.openxmlformats.org/officeDocument/2006/relationships/hyperlink" Target="https://www.monotaro.com/p/4920/2176/" TargetMode="External"/><Relationship Id="rId2" Type="http://schemas.openxmlformats.org/officeDocument/2006/relationships/hyperlink" Target="https://jp.misumi-ec.com/vona2/detail/110311012679/?rid=dj_sub34_detail_2_110311012679_e18_110311012769_a" TargetMode="External"/><Relationship Id="rId1" Type="http://schemas.openxmlformats.org/officeDocument/2006/relationships/hyperlink" Target="https://jp.misumi-ec.com/vona2/detail/110311012769/" TargetMode="External"/><Relationship Id="rId6" Type="http://schemas.openxmlformats.org/officeDocument/2006/relationships/hyperlink" Target="https://www.monotaro.com/p/3799/9981/?t.q=%83t%83%8C%83L%83%89%83b%83N" TargetMode="External"/><Relationship Id="rId5" Type="http://schemas.openxmlformats.org/officeDocument/2006/relationships/hyperlink" Target="https://www.monotaro.com/p/8625/1165/?t.q=%83X%83e%83%93%83%8C%83X%83p%83C%83v" TargetMode="External"/><Relationship Id="rId4" Type="http://schemas.openxmlformats.org/officeDocument/2006/relationships/hyperlink" Target="https://www.monotaro.com/p/6391/2879/?t.q=%83i%83C%83%8D%83%93%83i%83b%83g%20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H44"/>
  <sheetViews>
    <sheetView tabSelected="1" zoomScale="70" zoomScaleNormal="70" workbookViewId="0">
      <pane ySplit="1" topLeftCell="A2" activePane="bottomLeft" state="frozen"/>
      <selection pane="bottomLeft" activeCell="J8" sqref="J8"/>
    </sheetView>
  </sheetViews>
  <sheetFormatPr defaultRowHeight="18" x14ac:dyDescent="0.45"/>
  <cols>
    <col min="1" max="1" width="23.3984375" customWidth="1"/>
    <col min="2" max="2" width="6.59765625" customWidth="1"/>
    <col min="3" max="3" width="9.796875" customWidth="1"/>
    <col min="4" max="4" width="9.09765625" customWidth="1"/>
    <col min="5" max="5" width="15.09765625" customWidth="1"/>
    <col min="6" max="6" width="20.5" customWidth="1"/>
  </cols>
  <sheetData>
    <row r="1" spans="1:8" ht="18.600000000000001" thickBot="1" x14ac:dyDescent="0.5">
      <c r="A1" t="s">
        <v>0</v>
      </c>
      <c r="B1" t="s">
        <v>1</v>
      </c>
      <c r="C1" t="s">
        <v>5</v>
      </c>
      <c r="D1" t="s">
        <v>3</v>
      </c>
      <c r="E1" t="s">
        <v>17</v>
      </c>
      <c r="F1" t="s">
        <v>4</v>
      </c>
      <c r="G1" s="1" t="s">
        <v>2</v>
      </c>
      <c r="H1" s="3">
        <f>SUM(D:D)</f>
        <v>28536</v>
      </c>
    </row>
    <row r="2" spans="1:8" x14ac:dyDescent="0.45">
      <c r="A2" t="s">
        <v>6</v>
      </c>
      <c r="B2">
        <v>1</v>
      </c>
      <c r="C2">
        <v>3300</v>
      </c>
      <c r="D2">
        <f t="shared" ref="D2:D15" si="0">B2*C2</f>
        <v>3300</v>
      </c>
      <c r="E2" t="s">
        <v>8</v>
      </c>
      <c r="F2" s="2" t="s">
        <v>7</v>
      </c>
    </row>
    <row r="3" spans="1:8" x14ac:dyDescent="0.45">
      <c r="A3" t="s">
        <v>9</v>
      </c>
      <c r="B3">
        <v>1</v>
      </c>
      <c r="C3">
        <v>1980</v>
      </c>
      <c r="D3">
        <f t="shared" si="0"/>
        <v>1980</v>
      </c>
      <c r="E3" t="s">
        <v>14</v>
      </c>
      <c r="F3" s="2" t="s">
        <v>13</v>
      </c>
    </row>
    <row r="4" spans="1:8" x14ac:dyDescent="0.45">
      <c r="A4" t="s">
        <v>10</v>
      </c>
      <c r="B4">
        <v>1</v>
      </c>
      <c r="C4">
        <v>1760</v>
      </c>
      <c r="D4">
        <f t="shared" si="0"/>
        <v>1760</v>
      </c>
      <c r="E4" t="s">
        <v>12</v>
      </c>
      <c r="F4" s="2" t="s">
        <v>11</v>
      </c>
    </row>
    <row r="5" spans="1:8" x14ac:dyDescent="0.45">
      <c r="A5" t="s">
        <v>15</v>
      </c>
      <c r="B5">
        <v>2</v>
      </c>
      <c r="C5">
        <v>626</v>
      </c>
      <c r="D5">
        <f t="shared" si="0"/>
        <v>1252</v>
      </c>
      <c r="F5" s="2" t="s">
        <v>16</v>
      </c>
    </row>
    <row r="6" spans="1:8" x14ac:dyDescent="0.45">
      <c r="A6" t="s">
        <v>18</v>
      </c>
      <c r="B6">
        <v>2</v>
      </c>
      <c r="C6">
        <v>1648</v>
      </c>
      <c r="D6">
        <f t="shared" si="0"/>
        <v>3296</v>
      </c>
      <c r="F6" s="2" t="s">
        <v>19</v>
      </c>
    </row>
    <row r="7" spans="1:8" x14ac:dyDescent="0.45">
      <c r="A7" t="s">
        <v>20</v>
      </c>
      <c r="B7">
        <v>3</v>
      </c>
      <c r="C7">
        <v>3298</v>
      </c>
      <c r="D7">
        <f t="shared" si="0"/>
        <v>9894</v>
      </c>
      <c r="F7" s="2" t="s">
        <v>21</v>
      </c>
    </row>
    <row r="8" spans="1:8" x14ac:dyDescent="0.45">
      <c r="A8" t="s">
        <v>22</v>
      </c>
      <c r="B8">
        <v>3</v>
      </c>
      <c r="C8">
        <v>417</v>
      </c>
      <c r="D8">
        <f t="shared" si="0"/>
        <v>1251</v>
      </c>
      <c r="F8" s="2" t="s">
        <v>25</v>
      </c>
    </row>
    <row r="9" spans="1:8" x14ac:dyDescent="0.45">
      <c r="A9" t="s">
        <v>23</v>
      </c>
      <c r="B9">
        <v>1</v>
      </c>
      <c r="C9">
        <v>1780</v>
      </c>
      <c r="D9">
        <f t="shared" si="0"/>
        <v>1780</v>
      </c>
      <c r="F9" s="2" t="s">
        <v>24</v>
      </c>
    </row>
    <row r="10" spans="1:8" x14ac:dyDescent="0.45">
      <c r="A10" t="s">
        <v>26</v>
      </c>
      <c r="B10">
        <v>1</v>
      </c>
      <c r="C10">
        <v>1079</v>
      </c>
      <c r="D10">
        <f t="shared" si="0"/>
        <v>1079</v>
      </c>
      <c r="F10" t="s">
        <v>27</v>
      </c>
    </row>
    <row r="11" spans="1:8" x14ac:dyDescent="0.45">
      <c r="A11" t="s">
        <v>29</v>
      </c>
      <c r="B11">
        <v>1</v>
      </c>
      <c r="C11">
        <v>1428</v>
      </c>
      <c r="D11">
        <f t="shared" si="0"/>
        <v>1428</v>
      </c>
      <c r="F11" t="s">
        <v>28</v>
      </c>
    </row>
    <row r="12" spans="1:8" x14ac:dyDescent="0.45">
      <c r="A12" t="s">
        <v>30</v>
      </c>
      <c r="B12">
        <v>1</v>
      </c>
      <c r="C12">
        <v>791</v>
      </c>
      <c r="D12">
        <f t="shared" si="0"/>
        <v>791</v>
      </c>
      <c r="F12" t="s">
        <v>33</v>
      </c>
    </row>
    <row r="13" spans="1:8" x14ac:dyDescent="0.45">
      <c r="A13" t="s">
        <v>31</v>
      </c>
      <c r="B13">
        <v>1</v>
      </c>
      <c r="C13">
        <v>725</v>
      </c>
      <c r="D13">
        <f t="shared" si="0"/>
        <v>725</v>
      </c>
      <c r="F13" t="s">
        <v>32</v>
      </c>
    </row>
    <row r="14" spans="1:8" x14ac:dyDescent="0.45">
      <c r="D14">
        <f t="shared" si="0"/>
        <v>0</v>
      </c>
    </row>
    <row r="15" spans="1:8" x14ac:dyDescent="0.45">
      <c r="D15">
        <f t="shared" si="0"/>
        <v>0</v>
      </c>
    </row>
    <row r="16" spans="1:8" x14ac:dyDescent="0.45">
      <c r="D16">
        <f t="shared" ref="D14:D37" si="1">B16*C16</f>
        <v>0</v>
      </c>
    </row>
    <row r="17" spans="4:6" x14ac:dyDescent="0.45">
      <c r="D17">
        <f t="shared" si="1"/>
        <v>0</v>
      </c>
    </row>
    <row r="18" spans="4:6" x14ac:dyDescent="0.45">
      <c r="D18">
        <f t="shared" si="1"/>
        <v>0</v>
      </c>
    </row>
    <row r="19" spans="4:6" x14ac:dyDescent="0.45">
      <c r="D19">
        <f t="shared" si="1"/>
        <v>0</v>
      </c>
      <c r="F19" s="2"/>
    </row>
    <row r="20" spans="4:6" x14ac:dyDescent="0.45">
      <c r="D20">
        <f t="shared" si="1"/>
        <v>0</v>
      </c>
      <c r="F20" s="2"/>
    </row>
    <row r="21" spans="4:6" x14ac:dyDescent="0.45">
      <c r="D21">
        <f t="shared" si="1"/>
        <v>0</v>
      </c>
      <c r="F21" s="2"/>
    </row>
    <row r="22" spans="4:6" x14ac:dyDescent="0.45">
      <c r="D22">
        <f t="shared" si="1"/>
        <v>0</v>
      </c>
      <c r="F22" s="2"/>
    </row>
    <row r="23" spans="4:6" x14ac:dyDescent="0.45">
      <c r="D23">
        <f t="shared" si="1"/>
        <v>0</v>
      </c>
    </row>
    <row r="24" spans="4:6" x14ac:dyDescent="0.45">
      <c r="D24">
        <f t="shared" si="1"/>
        <v>0</v>
      </c>
      <c r="F24" s="2"/>
    </row>
    <row r="25" spans="4:6" x14ac:dyDescent="0.45">
      <c r="D25">
        <f t="shared" si="1"/>
        <v>0</v>
      </c>
      <c r="F25" s="2"/>
    </row>
    <row r="26" spans="4:6" x14ac:dyDescent="0.45">
      <c r="D26">
        <f t="shared" si="1"/>
        <v>0</v>
      </c>
    </row>
    <row r="27" spans="4:6" x14ac:dyDescent="0.45">
      <c r="D27">
        <f t="shared" si="1"/>
        <v>0</v>
      </c>
      <c r="F27" s="2"/>
    </row>
    <row r="28" spans="4:6" x14ac:dyDescent="0.45">
      <c r="D28">
        <f t="shared" si="1"/>
        <v>0</v>
      </c>
      <c r="F28" s="2"/>
    </row>
    <row r="29" spans="4:6" x14ac:dyDescent="0.45">
      <c r="D29">
        <f t="shared" si="1"/>
        <v>0</v>
      </c>
    </row>
    <row r="30" spans="4:6" x14ac:dyDescent="0.45">
      <c r="D30">
        <f t="shared" si="1"/>
        <v>0</v>
      </c>
    </row>
    <row r="31" spans="4:6" x14ac:dyDescent="0.45">
      <c r="D31">
        <f t="shared" si="1"/>
        <v>0</v>
      </c>
    </row>
    <row r="32" spans="4:6" x14ac:dyDescent="0.45">
      <c r="D32">
        <f t="shared" si="1"/>
        <v>0</v>
      </c>
    </row>
    <row r="33" spans="3:6" x14ac:dyDescent="0.45">
      <c r="D33">
        <f t="shared" si="1"/>
        <v>0</v>
      </c>
      <c r="F33" s="2"/>
    </row>
    <row r="34" spans="3:6" x14ac:dyDescent="0.45">
      <c r="D34">
        <f t="shared" si="1"/>
        <v>0</v>
      </c>
    </row>
    <row r="35" spans="3:6" x14ac:dyDescent="0.45">
      <c r="D35">
        <f t="shared" si="1"/>
        <v>0</v>
      </c>
    </row>
    <row r="36" spans="3:6" x14ac:dyDescent="0.45">
      <c r="D36">
        <f t="shared" si="1"/>
        <v>0</v>
      </c>
    </row>
    <row r="37" spans="3:6" x14ac:dyDescent="0.45">
      <c r="D37">
        <f t="shared" si="1"/>
        <v>0</v>
      </c>
    </row>
    <row r="39" spans="3:6" x14ac:dyDescent="0.45">
      <c r="D39">
        <f t="shared" ref="D39:D44" si="2">B39*C39</f>
        <v>0</v>
      </c>
    </row>
    <row r="40" spans="3:6" x14ac:dyDescent="0.45">
      <c r="D40">
        <f t="shared" si="2"/>
        <v>0</v>
      </c>
    </row>
    <row r="41" spans="3:6" x14ac:dyDescent="0.45">
      <c r="D41">
        <f t="shared" si="2"/>
        <v>0</v>
      </c>
    </row>
    <row r="42" spans="3:6" x14ac:dyDescent="0.45">
      <c r="D42">
        <f t="shared" si="2"/>
        <v>0</v>
      </c>
      <c r="F42" s="2"/>
    </row>
    <row r="43" spans="3:6" x14ac:dyDescent="0.45">
      <c r="C43" s="4"/>
      <c r="D43">
        <f t="shared" si="2"/>
        <v>0</v>
      </c>
      <c r="F43" s="2"/>
    </row>
    <row r="44" spans="3:6" x14ac:dyDescent="0.45">
      <c r="D44">
        <f t="shared" si="2"/>
        <v>0</v>
      </c>
    </row>
  </sheetData>
  <phoneticPr fontId="1"/>
  <hyperlinks>
    <hyperlink ref="F2" r:id="rId1" xr:uid="{9F1DD9AE-7445-4BDC-B8E2-298C278D9C97}"/>
    <hyperlink ref="F4" r:id="rId2" xr:uid="{E12AFE73-B9A4-413B-AB70-491523E01053}"/>
    <hyperlink ref="F3" r:id="rId3" xr:uid="{329E67BF-CAE6-45CD-B9CE-410A6E2356BD}"/>
    <hyperlink ref="F5" r:id="rId4" xr:uid="{1A26D97B-4189-4AAB-AD70-8CA6F4E80C6F}"/>
    <hyperlink ref="F6" r:id="rId5" xr:uid="{A3D4760A-3B6C-4E77-98B9-D973A12CFEBD}"/>
    <hyperlink ref="F7" r:id="rId6" xr:uid="{F50391BD-D3BD-4419-A46C-2E975D15BB60}"/>
    <hyperlink ref="F8" r:id="rId7" xr:uid="{E00C591B-7341-4D2F-9B3D-851787FAA160}"/>
  </hyperlinks>
  <pageMargins left="0.7" right="0.7" top="0.75" bottom="0.75" header="0.3" footer="0.3"/>
  <pageSetup paperSize="0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斉藤 実桜_舞鶴S学生</cp:lastModifiedBy>
  <cp:lastPrinted>2024-11-28T06:48:56Z</cp:lastPrinted>
  <dcterms:created xsi:type="dcterms:W3CDTF">2024-11-26T16:30:17Z</dcterms:created>
  <dcterms:modified xsi:type="dcterms:W3CDTF">2025-01-26T16:47:33Z</dcterms:modified>
</cp:coreProperties>
</file>